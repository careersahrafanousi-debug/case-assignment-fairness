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q_by_case_type" sheetId="2" state="visible" r:id="rId2"/>
    <sheet xmlns:r="http://schemas.openxmlformats.org/officeDocument/2006/relationships" name="q_by_case_type_2" sheetId="3" state="visible" r:id="rId3"/>
    <sheet xmlns:r="http://schemas.openxmlformats.org/officeDocument/2006/relationships" name="q_by_case_type_3" sheetId="4" state="visible" r:id="rId4"/>
    <sheet xmlns:r="http://schemas.openxmlformats.org/officeDocument/2006/relationships" name="q_routing" sheetId="5" state="visible" r:id="rId5"/>
    <sheet xmlns:r="http://schemas.openxmlformats.org/officeDocument/2006/relationships" name="q_reassign_cost" sheetId="6" state="visible" r:id="rId6"/>
    <sheet xmlns:r="http://schemas.openxmlformats.org/officeDocument/2006/relationships" name="q_complexity" sheetId="7" state="visible" r:id="rId7"/>
    <sheet xmlns:r="http://schemas.openxmlformats.org/officeDocument/2006/relationships" name="q_backlog" sheetId="8" state="visible" r:id="rId8"/>
    <sheet xmlns:r="http://schemas.openxmlformats.org/officeDocument/2006/relationships" name="q_root_cause"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0F172A"/>
      <sz val="22"/>
    </font>
    <font>
      <name val="Calibri"/>
      <color rgb="00475569"/>
      <sz val="10"/>
    </font>
    <font>
      <b val="1"/>
      <color rgb="00475569"/>
      <sz val="7"/>
    </font>
    <font>
      <b val="1"/>
      <color rgb="000F172A"/>
      <sz val="16"/>
    </font>
    <font>
      <color rgb="00475569"/>
      <sz val="7"/>
    </font>
    <font>
      <b val="1"/>
      <color rgb="00B91C1C"/>
      <sz val="16"/>
    </font>
    <font>
      <b val="1"/>
      <color rgb="00B45309"/>
      <sz val="16"/>
    </font>
    <font>
      <b val="1"/>
      <color rgb="0015803D"/>
      <sz val="16"/>
    </font>
    <font>
      <b val="1"/>
    </font>
    <font>
      <color rgb="00475569"/>
      <sz val="8"/>
    </font>
    <font>
      <name val="Calibri"/>
      <b val="1"/>
      <color rgb="000F172A"/>
      <sz val="11"/>
    </font>
    <font>
      <name val="Calibri"/>
      <color rgb="00475569"/>
      <sz val="9"/>
    </font>
    <font>
      <name val="Calibri"/>
      <color rgb="00475569"/>
      <sz val="8"/>
    </font>
  </fonts>
  <fills count="4">
    <fill>
      <patternFill/>
    </fill>
    <fill>
      <patternFill patternType="gray125"/>
    </fill>
    <fill>
      <patternFill patternType="solid">
        <fgColor rgb="00F1F5F9"/>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0" fillId="3" borderId="0" pivotButton="0" quotePrefix="0" xfId="0"/>
    <xf numFmtId="0" fontId="1" fillId="3" borderId="0" applyAlignment="1" pivotButton="0" quotePrefix="0" xfId="0">
      <alignment vertical="top" wrapText="1"/>
    </xf>
    <xf numFmtId="0" fontId="2" fillId="3" borderId="0" applyAlignment="1" pivotButton="0" quotePrefix="0" xfId="0">
      <alignment vertical="top" wrapText="1"/>
    </xf>
    <xf numFmtId="0" fontId="3" fillId="2" borderId="1" pivotButton="0" quotePrefix="0" xfId="0"/>
    <xf numFmtId="0" fontId="0" fillId="2" borderId="1" pivotButton="0" quotePrefix="0" xfId="0"/>
    <xf numFmtId="0" fontId="4" fillId="2" borderId="1" pivotButton="0" quotePrefix="0" xfId="0"/>
    <xf numFmtId="0" fontId="6" fillId="2" borderId="1" pivotButton="0" quotePrefix="0" xfId="0"/>
    <xf numFmtId="0" fontId="7" fillId="2" borderId="1" pivotButton="0" quotePrefix="0" xfId="0"/>
    <xf numFmtId="0" fontId="5" fillId="2" borderId="1" applyAlignment="1" pivotButton="0" quotePrefix="0" xfId="0">
      <alignment vertical="top" wrapText="1"/>
    </xf>
    <xf numFmtId="0" fontId="8" fillId="2" borderId="1" pivotButton="0" quotePrefix="0" xfId="0"/>
    <xf numFmtId="0" fontId="10" fillId="3" borderId="0" applyAlignment="1" pivotButton="0" quotePrefix="0" xfId="0">
      <alignment vertical="top" wrapText="1"/>
    </xf>
    <xf numFmtId="0" fontId="11" fillId="3" borderId="0" applyAlignment="1" pivotButton="0" quotePrefix="0" xfId="0">
      <alignment vertical="top" wrapText="1"/>
    </xf>
    <xf numFmtId="0" fontId="12" fillId="3" borderId="0" applyAlignment="1" pivotButton="0" quotePrefix="0" xfId="0">
      <alignment vertical="top" wrapText="1"/>
    </xf>
    <xf numFmtId="0" fontId="13" fillId="3"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SLA compliance by case type, against its own target</a:t>
            </a:r>
          </a:p>
        </rich>
      </tx>
    </title>
    <plotArea>
      <barChart>
        <barDir val="col"/>
        <grouping val="clustered"/>
        <ser>
          <idx val="0"/>
          <order val="0"/>
          <tx>
            <strRef>
              <f>'q_by_case_type'!B1</f>
            </strRef>
          </tx>
          <spPr>
            <a:solidFill xmlns:a="http://schemas.openxmlformats.org/drawingml/2006/main">
              <a:srgbClr val="3B82F6"/>
            </a:solidFill>
            <a:ln xmlns:a="http://schemas.openxmlformats.org/drawingml/2006/main">
              <a:noFill/>
              <a:prstDash val="solid"/>
            </a:ln>
          </spPr>
          <invertIfNegative val="0"/>
          <cat>
            <numRef>
              <f>'q_by_case_type'!$A$2:$A$7</f>
            </numRef>
          </cat>
          <val>
            <numRef>
              <f>'q_by_case_type'!$B$2:$B$7</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SLA compliance %</a:t>
                </a:r>
              </a:p>
            </rich>
          </tx>
        </title>
        <majorTickMark val="none"/>
        <minorTickMark val="none"/>
        <crossAx val="10"/>
        <crosses val="autoZero"/>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Where the lateness actually is</a:t>
            </a:r>
          </a:p>
        </rich>
      </tx>
    </title>
    <plotArea>
      <doughnutChart>
        <varyColors val="1"/>
        <ser>
          <idx val="0"/>
          <order val="0"/>
          <tx>
            <strRef>
              <f>'q_by_case_type_2'!B1</f>
            </strRef>
          </tx>
          <spPr>
            <a:ln xmlns:a="http://schemas.openxmlformats.org/drawingml/2006/main">
              <a:prstDash val="solid"/>
            </a:ln>
          </spPr>
          <cat>
            <numRef>
              <f>'q_by_case_type_2'!$A$2:$A$7</f>
            </numRef>
          </cat>
          <val>
            <numRef>
              <f>'q_by_case_type_2'!$B$2:$B$7</f>
            </numRef>
          </val>
        </ser>
        <firstSliceAng val="0"/>
        <holeSize val="55"/>
      </doughnutChart>
    </plotArea>
    <legend>
      <legendPos val="b"/>
      <overlay val="0"/>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Average resolution time vs the published target</a:t>
            </a:r>
          </a:p>
        </rich>
      </tx>
    </title>
    <plotArea>
      <barChart>
        <barDir val="col"/>
        <grouping val="clustered"/>
        <ser>
          <idx val="0"/>
          <order val="0"/>
          <tx>
            <strRef>
              <f>'q_by_case_type_3'!B1</f>
            </strRef>
          </tx>
          <spPr>
            <a:solidFill xmlns:a="http://schemas.openxmlformats.org/drawingml/2006/main">
              <a:srgbClr val="EF4444"/>
            </a:solidFill>
            <a:ln xmlns:a="http://schemas.openxmlformats.org/drawingml/2006/main">
              <a:noFill/>
              <a:prstDash val="solid"/>
            </a:ln>
          </spPr>
          <invertIfNegative val="0"/>
          <cat>
            <numRef>
              <f>'q_by_case_type_3'!$A$2:$A$7</f>
            </numRef>
          </cat>
          <val>
            <numRef>
              <f>'q_by_case_type_3'!$B$2:$B$7</f>
            </numRef>
          </val>
        </ser>
        <ser>
          <idx val="1"/>
          <order val="1"/>
          <tx>
            <strRef>
              <f>'q_by_case_type_3'!C1</f>
            </strRef>
          </tx>
          <spPr>
            <a:solidFill xmlns:a="http://schemas.openxmlformats.org/drawingml/2006/main">
              <a:srgbClr val="94A3B8"/>
            </a:solidFill>
            <a:ln xmlns:a="http://schemas.openxmlformats.org/drawingml/2006/main">
              <a:noFill/>
              <a:prstDash val="solid"/>
            </a:ln>
          </spPr>
          <invertIfNegative val="0"/>
          <cat>
            <numRef>
              <f>'q_by_case_type_3'!$A$2:$A$7</f>
            </numRef>
          </cat>
          <val>
            <numRef>
              <f>'q_by_case_type_3'!$C$2:$C$7</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Routing accuracy by method</a:t>
            </a:r>
          </a:p>
        </rich>
      </tx>
    </title>
    <plotArea>
      <barChart>
        <barDir val="col"/>
        <grouping val="clustered"/>
        <ser>
          <idx val="0"/>
          <order val="0"/>
          <tx>
            <strRef>
              <f>'q_routing'!B1</f>
            </strRef>
          </tx>
          <spPr>
            <a:solidFill xmlns:a="http://schemas.openxmlformats.org/drawingml/2006/main">
              <a:srgbClr val="3B82F6"/>
            </a:solidFill>
            <a:ln xmlns:a="http://schemas.openxmlformats.org/drawingml/2006/main">
              <a:noFill/>
              <a:prstDash val="solid"/>
            </a:ln>
          </spPr>
          <invertIfNegative val="0"/>
          <cat>
            <numRef>
              <f>'q_routing'!$A$2:$A$4</f>
            </numRef>
          </cat>
          <val>
            <numRef>
              <f>'q_routing'!$B$2:$B$4</f>
            </numRef>
          </val>
        </ser>
        <ser>
          <idx val="1"/>
          <order val="1"/>
          <tx>
            <strRef>
              <f>'q_routing'!C1</f>
            </strRef>
          </tx>
          <spPr>
            <a:solidFill xmlns:a="http://schemas.openxmlformats.org/drawingml/2006/main">
              <a:srgbClr val="EF4444"/>
            </a:solidFill>
            <a:ln xmlns:a="http://schemas.openxmlformats.org/drawingml/2006/main">
              <a:noFill/>
              <a:prstDash val="solid"/>
            </a:ln>
          </spPr>
          <invertIfNegative val="0"/>
          <cat>
            <numRef>
              <f>'q_routing'!$A$2:$A$4</f>
            </numRef>
          </cat>
          <val>
            <numRef>
              <f>'q_routing'!$C$2:$C$4</f>
            </numRef>
          </val>
        </ser>
        <ser>
          <idx val="2"/>
          <order val="2"/>
          <tx>
            <strRef>
              <f>'q_routing'!D1</f>
            </strRef>
          </tx>
          <spPr>
            <a:solidFill xmlns:a="http://schemas.openxmlformats.org/drawingml/2006/main">
              <a:srgbClr val="F59E0B"/>
            </a:solidFill>
            <a:ln xmlns:a="http://schemas.openxmlformats.org/drawingml/2006/main">
              <a:noFill/>
              <a:prstDash val="solid"/>
            </a:ln>
          </spPr>
          <invertIfNegative val="0"/>
          <cat>
            <numRef>
              <f>'q_routing'!$A$2:$A$4</f>
            </numRef>
          </cat>
          <val>
            <numRef>
              <f>'q_routing'!$D$2:$D$4</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What a reassignment costs</a:t>
            </a:r>
          </a:p>
        </rich>
      </tx>
    </title>
    <plotArea>
      <lineChart>
        <grouping val="standard"/>
        <ser>
          <idx val="0"/>
          <order val="0"/>
          <tx>
            <strRef>
              <f>'q_reassign_cost'!B1</f>
            </strRef>
          </tx>
          <spPr>
            <a:ln xmlns:a="http://schemas.openxmlformats.org/drawingml/2006/main" w="26000">
              <a:solidFill>
                <a:srgbClr val="22C55E"/>
              </a:solidFill>
              <a:prstDash val="solid"/>
            </a:ln>
          </spPr>
          <marker>
            <symbol val="none"/>
            <spPr>
              <a:ln xmlns:a="http://schemas.openxmlformats.org/drawingml/2006/main">
                <a:prstDash val="solid"/>
              </a:ln>
            </spPr>
          </marker>
          <cat>
            <numRef>
              <f>'q_reassign_cost'!$A$2:$A$5</f>
            </numRef>
          </cat>
          <val>
            <numRef>
              <f>'q_reassign_cost'!$B$2:$B$5</f>
            </numRef>
          </val>
          <smooth val="0"/>
        </ser>
        <ser>
          <idx val="1"/>
          <order val="1"/>
          <tx>
            <strRef>
              <f>'q_reassign_cost'!C1</f>
            </strRef>
          </tx>
          <spPr>
            <a:ln xmlns:a="http://schemas.openxmlformats.org/drawingml/2006/main" w="26000">
              <a:solidFill>
                <a:srgbClr val="EF4444"/>
              </a:solidFill>
              <a:prstDash val="solid"/>
            </a:ln>
          </spPr>
          <marker>
            <symbol val="none"/>
            <spPr>
              <a:ln xmlns:a="http://schemas.openxmlformats.org/drawingml/2006/main">
                <a:prstDash val="solid"/>
              </a:ln>
            </spPr>
          </marker>
          <cat>
            <numRef>
              <f>'q_reassign_cost'!$A$2:$A$5</f>
            </numRef>
          </cat>
          <val>
            <numRef>
              <f>'q_reassign_cost'!$C$2:$C$5</f>
            </numRef>
          </val>
          <smooth val="0"/>
        </ser>
        <axId val="10"/>
        <axId val="100"/>
      </lineChart>
      <barChart>
        <barDir val="col"/>
        <grouping val="clustered"/>
        <ser>
          <idx val="2"/>
          <order val="2"/>
          <tx>
            <strRef>
              <f>'q_reassign_cost'!D1</f>
            </strRef>
          </tx>
          <spPr>
            <a:solidFill xmlns:a="http://schemas.openxmlformats.org/drawingml/2006/main">
              <a:srgbClr val="94A3B8"/>
            </a:solidFill>
            <a:ln xmlns:a="http://schemas.openxmlformats.org/drawingml/2006/main">
              <a:noFill/>
              <a:prstDash val="solid"/>
            </a:ln>
          </spPr>
          <invertIfNegative val="0"/>
          <cat>
            <numRef>
              <f>'q_reassign_cost'!$A$2:$A$5</f>
            </numRef>
          </cat>
          <val>
            <numRef>
              <f>'q_reassign_cost'!$D$2:$D$5</f>
            </numRef>
          </val>
        </ser>
        <gapWidth val="60"/>
        <axId val="10"/>
        <axId val="200"/>
      </barChart>
      <catAx>
        <axId val="10"/>
        <scaling>
          <orientation val="minMax"/>
        </scaling>
        <axPos val="l"/>
        <majorTickMark val="none"/>
        <minorTickMark val="none"/>
        <crossAx val="100"/>
        <crosses val="autoZero"/>
        <lblOffset val="100"/>
      </catAx>
      <valAx>
        <axId val="100"/>
        <scaling>
          <orientation val="minMax"/>
        </scaling>
        <axPos val="l"/>
        <majorGridlines/>
        <title>
          <tx>
            <rich>
              <a:bodyPr xmlns:a="http://schemas.openxmlformats.org/drawingml/2006/main"/>
              <a:p xmlns:a="http://schemas.openxmlformats.org/drawingml/2006/main">
                <a:pPr>
                  <a:defRPr/>
                </a:pPr>
                <a:r>
                  <a:t>Percent</a:t>
                </a:r>
              </a:p>
            </rich>
          </tx>
        </title>
        <majorTickMark val="none"/>
        <minorTickMark val="none"/>
        <crossAx val="10"/>
        <crosses val="autoZero"/>
      </valAx>
      <valAx>
        <axId val="200"/>
        <scaling>
          <orientation val="minMax"/>
          <min val="0"/>
        </scaling>
        <axPos val="l"/>
        <title>
          <tx>
            <rich>
              <a:bodyPr xmlns:a="http://schemas.openxmlformats.org/drawingml/2006/main"/>
              <a:p xmlns:a="http://schemas.openxmlformats.org/drawingml/2006/main">
                <a:pPr>
                  <a:defRPr/>
                </a:pPr>
                <a:r>
                  <a:t>Cases</a:t>
                </a:r>
              </a:p>
            </rich>
          </tx>
        </title>
        <majorTickMark val="none"/>
        <minorTickMark val="none"/>
        <crossAx val="10"/>
        <crosses val="max"/>
      </valAx>
    </plotArea>
    <legend>
      <legendPos val="b"/>
      <overlay val="0"/>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Does the complexity score predict anything?</a:t>
            </a:r>
          </a:p>
        </rich>
      </tx>
    </title>
    <plotArea>
      <barChart>
        <barDir val="col"/>
        <grouping val="clustered"/>
        <ser>
          <idx val="0"/>
          <order val="0"/>
          <tx>
            <strRef>
              <f>'q_complexity'!B1</f>
            </strRef>
          </tx>
          <spPr>
            <a:solidFill xmlns:a="http://schemas.openxmlformats.org/drawingml/2006/main">
              <a:srgbClr val="22C55E"/>
            </a:solidFill>
            <a:ln xmlns:a="http://schemas.openxmlformats.org/drawingml/2006/main">
              <a:noFill/>
              <a:prstDash val="solid"/>
            </a:ln>
          </spPr>
          <invertIfNegative val="0"/>
          <cat>
            <numRef>
              <f>'q_complexity'!$A$2:$A$5</f>
            </numRef>
          </cat>
          <val>
            <numRef>
              <f>'q_complexity'!$B$2:$B$5</f>
            </numRef>
          </val>
        </ser>
        <ser>
          <idx val="1"/>
          <order val="1"/>
          <tx>
            <strRef>
              <f>'q_complexity'!C1</f>
            </strRef>
          </tx>
          <spPr>
            <a:solidFill xmlns:a="http://schemas.openxmlformats.org/drawingml/2006/main">
              <a:srgbClr val="EF4444"/>
            </a:solidFill>
            <a:ln xmlns:a="http://schemas.openxmlformats.org/drawingml/2006/main">
              <a:noFill/>
              <a:prstDash val="solid"/>
            </a:ln>
          </spPr>
          <invertIfNegative val="0"/>
          <cat>
            <numRef>
              <f>'q_complexity'!$A$2:$A$5</f>
            </numRef>
          </cat>
          <val>
            <numRef>
              <f>'q_complexity'!$C$2:$C$5</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Backlog days of work</a:t>
            </a:r>
          </a:p>
        </rich>
      </tx>
    </title>
    <plotArea>
      <barChart>
        <barDir val="bar"/>
        <grouping val="clustered"/>
        <ser>
          <idx val="0"/>
          <order val="0"/>
          <tx>
            <strRef>
              <f>'q_backlog'!B1</f>
            </strRef>
          </tx>
          <spPr>
            <a:solidFill xmlns:a="http://schemas.openxmlformats.org/drawingml/2006/main">
              <a:srgbClr val="F59E0B"/>
            </a:solidFill>
            <a:ln xmlns:a="http://schemas.openxmlformats.org/drawingml/2006/main">
              <a:noFill/>
              <a:prstDash val="solid"/>
            </a:ln>
          </spPr>
          <invertIfNegative val="0"/>
          <cat>
            <numRef>
              <f>'q_backlog'!$A$2:$A$6</f>
            </numRef>
          </cat>
          <val>
            <numRef>
              <f>'q_backlog'!$B$2:$B$6</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Days of queued work</a:t>
                </a:r>
              </a:p>
            </rich>
          </tx>
        </title>
        <majorTickMark val="none"/>
        <minorTickMark val="none"/>
        <crossAx val="10"/>
        <crosses val="autoZero"/>
      </valAx>
    </plotArea>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Root cause of resolved cases</a:t>
            </a:r>
          </a:p>
        </rich>
      </tx>
    </title>
    <plotArea>
      <barChart>
        <barDir val="bar"/>
        <grouping val="clustered"/>
        <ser>
          <idx val="0"/>
          <order val="0"/>
          <tx>
            <strRef>
              <f>'q_root_cause'!B1</f>
            </strRef>
          </tx>
          <spPr>
            <a:solidFill xmlns:a="http://schemas.openxmlformats.org/drawingml/2006/main">
              <a:srgbClr val="3B82F6"/>
            </a:solidFill>
            <a:ln xmlns:a="http://schemas.openxmlformats.org/drawingml/2006/main">
              <a:noFill/>
              <a:prstDash val="solid"/>
            </a:ln>
          </spPr>
          <invertIfNegative val="0"/>
          <cat>
            <numRef>
              <f>'q_root_cause'!$A$2:$A$9</f>
            </numRef>
          </cat>
          <val>
            <numRef>
              <f>'q_root_cause'!$B$2:$B$9</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Cases</a:t>
                </a:r>
              </a:p>
            </rich>
          </tx>
        </title>
        <majorTickMark val="none"/>
        <minorTickMark val="none"/>
        <crossAx val="10"/>
        <crosses val="autoZero"/>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drawing1.xml><?xml version="1.0" encoding="utf-8"?>
<wsDr xmlns="http://schemas.openxmlformats.org/drawingml/2006/spreadsheetDrawing">
  <oneCellAnchor>
    <from>
      <col>1</col>
      <colOff>0</colOff>
      <row>17</row>
      <rowOff>0</rowOff>
    </from>
    <ext cx="8640000" cy="338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38</row>
      <rowOff>0</rowOff>
    </from>
    <ext cx="8640000" cy="338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59</row>
      <rowOff>0</rowOff>
    </from>
    <ext cx="8640000" cy="338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80</row>
      <rowOff>0</rowOff>
    </from>
    <ext cx="8640000" cy="338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101</row>
      <rowOff>0</rowOff>
    </from>
    <ext cx="8640000" cy="338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0</colOff>
      <row>122</row>
      <rowOff>0</rowOff>
    </from>
    <ext cx="8640000" cy="338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143</row>
      <rowOff>0</rowOff>
    </from>
    <ext cx="8640000" cy="338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col>
      <colOff>0</colOff>
      <row>164</row>
      <rowOff>0</rowOff>
    </from>
    <ext cx="8640000" cy="338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3B82F6"/>
    <outlinePr summaryBelow="1" summaryRight="1"/>
    <pageSetUpPr fitToPage="1"/>
  </sheetPr>
  <dimension ref="A1:X201"/>
  <sheetViews>
    <sheetView showGridLines="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30" customHeight="1">
      <c r="A2" s="1" t="n"/>
      <c r="B2" s="2" t="inlineStr">
        <is>
          <t>Case Assignment Fairness and SLA Control Tower</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ht="14" customHeight="1">
      <c r="A3" s="1" t="n"/>
      <c r="B3" s="3" t="inlineStr">
        <is>
          <t>ClearPath Case Services (fictional) · 15,908 cases · 2 January to 30 June 2026. Leadership asked which team was underperforming. Workload per analyst hour is near-equal across all five teams, yet SLA compliance ranges from 26% to 84%. The cause is a target and a routing method, not a team.</t>
        </is>
      </c>
      <c r="C3" s="1" t="n"/>
      <c r="D3" s="1" t="n"/>
      <c r="E3" s="1" t="n"/>
      <c r="F3" s="1" t="n"/>
      <c r="G3" s="1" t="n"/>
      <c r="H3" s="1" t="n"/>
      <c r="I3" s="1" t="n"/>
      <c r="J3" s="1" t="n"/>
      <c r="K3" s="1" t="n"/>
      <c r="L3" s="1" t="n"/>
      <c r="M3" s="1" t="n"/>
      <c r="N3" s="1" t="n"/>
      <c r="O3" s="1" t="n"/>
      <c r="P3" s="1" t="n"/>
      <c r="Q3" s="1" t="n"/>
      <c r="R3" s="1" t="n"/>
      <c r="S3" s="1" t="n"/>
      <c r="T3" s="1" t="n"/>
      <c r="U3" s="1" t="n"/>
      <c r="V3" s="1" t="n"/>
      <c r="W3" s="1" t="n"/>
      <c r="X3" s="1" t="n"/>
    </row>
    <row r="4" ht="14"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row>
    <row r="5" ht="14"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row>
    <row r="7" ht="12" customHeight="1">
      <c r="A7" s="1" t="n"/>
      <c r="B7" s="4" t="inlineStr">
        <is>
          <t>CASES</t>
        </is>
      </c>
      <c r="C7" s="5" t="n"/>
      <c r="D7" s="5" t="n"/>
      <c r="E7" s="5" t="n"/>
      <c r="F7" s="5" t="n"/>
      <c r="G7" s="4" t="inlineStr">
        <is>
          <t>SLA COMPLIANCE</t>
        </is>
      </c>
      <c r="H7" s="5" t="n"/>
      <c r="I7" s="5" t="n"/>
      <c r="J7" s="5" t="n"/>
      <c r="K7" s="5" t="n"/>
      <c r="L7" s="4" t="inlineStr">
        <is>
          <t>ASSIGNMENT ACCURACY</t>
        </is>
      </c>
      <c r="M7" s="5" t="n"/>
      <c r="N7" s="5" t="n"/>
      <c r="O7" s="5" t="n"/>
      <c r="P7" s="5" t="n"/>
      <c r="Q7" s="4" t="inlineStr">
        <is>
          <t>REOPEN RATE</t>
        </is>
      </c>
      <c r="R7" s="5" t="n"/>
      <c r="S7" s="5" t="n"/>
      <c r="T7" s="5" t="n"/>
      <c r="U7" s="5" t="n"/>
      <c r="V7" s="1" t="n"/>
      <c r="W7" s="1" t="n"/>
      <c r="X7" s="1" t="n"/>
    </row>
    <row r="8" ht="22" customHeight="1">
      <c r="A8" s="1" t="n"/>
      <c r="B8" s="6" t="inlineStr">
        <is>
          <t>15,908</t>
        </is>
      </c>
      <c r="C8" s="5" t="n"/>
      <c r="D8" s="5" t="n"/>
      <c r="E8" s="5" t="n"/>
      <c r="F8" s="5" t="n"/>
      <c r="G8" s="7" t="inlineStr">
        <is>
          <t>62.70%</t>
        </is>
      </c>
      <c r="H8" s="5" t="n"/>
      <c r="I8" s="5" t="n"/>
      <c r="J8" s="5" t="n"/>
      <c r="K8" s="5" t="n"/>
      <c r="L8" s="8" t="inlineStr">
        <is>
          <t>73.10%</t>
        </is>
      </c>
      <c r="M8" s="5" t="n"/>
      <c r="N8" s="5" t="n"/>
      <c r="O8" s="5" t="n"/>
      <c r="P8" s="5" t="n"/>
      <c r="Q8" s="8" t="inlineStr">
        <is>
          <t>6.47%</t>
        </is>
      </c>
      <c r="R8" s="5" t="n"/>
      <c r="S8" s="5" t="n"/>
      <c r="T8" s="5" t="n"/>
      <c r="U8" s="5" t="n"/>
      <c r="V8" s="1" t="n"/>
      <c r="W8" s="1" t="n"/>
      <c r="X8" s="1" t="n"/>
    </row>
    <row r="9" ht="12" customHeight="1">
      <c r="A9" s="1" t="n"/>
      <c r="B9" s="9" t="inlineStr"/>
      <c r="C9" s="5" t="n"/>
      <c r="D9" s="5" t="n"/>
      <c r="E9" s="5" t="n"/>
      <c r="F9" s="5" t="n"/>
      <c r="G9" s="9" t="inlineStr">
        <is>
          <t>Flat 61–64% for six months</t>
        </is>
      </c>
      <c r="H9" s="5" t="n"/>
      <c r="I9" s="5" t="n"/>
      <c r="J9" s="5" t="n"/>
      <c r="K9" s="5" t="n"/>
      <c r="L9" s="9" t="inlineStr">
        <is>
          <t>26.9% reassigned at least once</t>
        </is>
      </c>
      <c r="M9" s="5" t="n"/>
      <c r="N9" s="5" t="n"/>
      <c r="O9" s="5" t="n"/>
      <c r="P9" s="5" t="n"/>
      <c r="Q9" s="9" t="inlineStr">
        <is>
          <t>12.15% once reassigned</t>
        </is>
      </c>
      <c r="R9" s="5" t="n"/>
      <c r="S9" s="5" t="n"/>
      <c r="T9" s="5" t="n"/>
      <c r="U9" s="5" t="n"/>
      <c r="V9" s="1" t="n"/>
      <c r="W9" s="1" t="n"/>
      <c r="X9" s="1" t="n"/>
    </row>
    <row r="10" ht="12" customHeight="1">
      <c r="A10" s="1" t="n"/>
      <c r="B10" s="5" t="n"/>
      <c r="C10" s="5" t="n"/>
      <c r="D10" s="5" t="n"/>
      <c r="E10" s="5" t="n"/>
      <c r="F10" s="5" t="n"/>
      <c r="G10" s="5" t="n"/>
      <c r="H10" s="5" t="n"/>
      <c r="I10" s="5" t="n"/>
      <c r="J10" s="5" t="n"/>
      <c r="K10" s="5" t="n"/>
      <c r="L10" s="5" t="n"/>
      <c r="M10" s="5" t="n"/>
      <c r="N10" s="5" t="n"/>
      <c r="O10" s="5" t="n"/>
      <c r="P10" s="5" t="n"/>
      <c r="Q10" s="5" t="n"/>
      <c r="R10" s="5" t="n"/>
      <c r="S10" s="5" t="n"/>
      <c r="T10" s="5" t="n"/>
      <c r="U10" s="5" t="n"/>
      <c r="V10" s="1" t="n"/>
      <c r="W10" s="1" t="n"/>
      <c r="X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row>
    <row r="12" ht="12" customHeight="1">
      <c r="A12" s="1" t="n"/>
      <c r="B12" s="4" t="inlineStr">
        <is>
          <t>AVG RESOLUTION</t>
        </is>
      </c>
      <c r="C12" s="5" t="n"/>
      <c r="D12" s="5" t="n"/>
      <c r="E12" s="5" t="n"/>
      <c r="F12" s="5" t="n"/>
      <c r="G12" s="4" t="inlineStr">
        <is>
          <t>TOTAL BREACH HOURS</t>
        </is>
      </c>
      <c r="H12" s="5" t="n"/>
      <c r="I12" s="5" t="n"/>
      <c r="J12" s="5" t="n"/>
      <c r="K12" s="5" t="n"/>
      <c r="L12" s="4" t="inlineStr">
        <is>
          <t>OPEN CASES</t>
        </is>
      </c>
      <c r="M12" s="5" t="n"/>
      <c r="N12" s="5" t="n"/>
      <c r="O12" s="5" t="n"/>
      <c r="P12" s="5" t="n"/>
      <c r="Q12" s="4" t="inlineStr">
        <is>
          <t>DATA QUALITY SCORE</t>
        </is>
      </c>
      <c r="R12" s="5" t="n"/>
      <c r="S12" s="5" t="n"/>
      <c r="T12" s="5" t="n"/>
      <c r="U12" s="5" t="n"/>
      <c r="V12" s="1" t="n"/>
      <c r="W12" s="1" t="n"/>
      <c r="X12" s="1" t="n"/>
    </row>
    <row r="13" ht="22" customHeight="1">
      <c r="A13" s="1" t="n"/>
      <c r="B13" s="6" t="inlineStr">
        <is>
          <t>52.7h</t>
        </is>
      </c>
      <c r="C13" s="5" t="n"/>
      <c r="D13" s="5" t="n"/>
      <c r="E13" s="5" t="n"/>
      <c r="F13" s="5" t="n"/>
      <c r="G13" s="7" t="inlineStr">
        <is>
          <t>180,810.0h</t>
        </is>
      </c>
      <c r="H13" s="5" t="n"/>
      <c r="I13" s="5" t="n"/>
      <c r="J13" s="5" t="n"/>
      <c r="K13" s="5" t="n"/>
      <c r="L13" s="6" t="inlineStr">
        <is>
          <t>194</t>
        </is>
      </c>
      <c r="M13" s="5" t="n"/>
      <c r="N13" s="5" t="n"/>
      <c r="O13" s="5" t="n"/>
      <c r="P13" s="5" t="n"/>
      <c r="Q13" s="10" t="inlineStr">
        <is>
          <t>99.43%</t>
        </is>
      </c>
      <c r="R13" s="5" t="n"/>
      <c r="S13" s="5" t="n"/>
      <c r="T13" s="5" t="n"/>
      <c r="U13" s="5" t="n"/>
      <c r="V13" s="1" t="n"/>
      <c r="W13" s="1" t="n"/>
      <c r="X13" s="1" t="n"/>
    </row>
    <row r="14" ht="12" customHeight="1">
      <c r="A14" s="1" t="n"/>
      <c r="B14" s="9" t="inlineStr">
        <is>
          <t>Median 43.0h</t>
        </is>
      </c>
      <c r="C14" s="5" t="n"/>
      <c r="D14" s="5" t="n"/>
      <c r="E14" s="5" t="n"/>
      <c r="F14" s="5" t="n"/>
      <c r="G14" s="9" t="inlineStr">
        <is>
          <t>41% from one case type</t>
        </is>
      </c>
      <c r="H14" s="5" t="n"/>
      <c r="I14" s="5" t="n"/>
      <c r="J14" s="5" t="n"/>
      <c r="K14" s="5" t="n"/>
      <c r="L14" s="9" t="inlineStr">
        <is>
          <t>20 already past target</t>
        </is>
      </c>
      <c r="M14" s="5" t="n"/>
      <c r="N14" s="5" t="n"/>
      <c r="O14" s="5" t="n"/>
      <c r="P14" s="5" t="n"/>
      <c r="Q14" s="9" t="inlineStr">
        <is>
          <t>92 records excluded and logged</t>
        </is>
      </c>
      <c r="R14" s="5" t="n"/>
      <c r="S14" s="5" t="n"/>
      <c r="T14" s="5" t="n"/>
      <c r="U14" s="5" t="n"/>
      <c r="V14" s="1" t="n"/>
      <c r="W14" s="1" t="n"/>
      <c r="X14" s="1" t="n"/>
    </row>
    <row r="15" ht="12" customHeight="1">
      <c r="A15" s="1" t="n"/>
      <c r="B15" s="5" t="n"/>
      <c r="C15" s="5" t="n"/>
      <c r="D15" s="5" t="n"/>
      <c r="E15" s="5" t="n"/>
      <c r="F15" s="5" t="n"/>
      <c r="G15" s="5" t="n"/>
      <c r="H15" s="5" t="n"/>
      <c r="I15" s="5" t="n"/>
      <c r="J15" s="5" t="n"/>
      <c r="K15" s="5" t="n"/>
      <c r="L15" s="5" t="n"/>
      <c r="M15" s="5" t="n"/>
      <c r="N15" s="5" t="n"/>
      <c r="O15" s="5" t="n"/>
      <c r="P15" s="5" t="n"/>
      <c r="Q15" s="5" t="n"/>
      <c r="R15" s="5" t="n"/>
      <c r="S15" s="5" t="n"/>
      <c r="T15" s="5" t="n"/>
      <c r="U15" s="5" t="n"/>
      <c r="V15" s="1" t="n"/>
      <c r="W15" s="1" t="n"/>
      <c r="X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row>
    <row r="36">
      <c r="A36" s="1" t="n"/>
      <c r="B36" s="11" t="inlineStr">
        <is>
          <t>The dashed line is the blended 62.70% figure reported to clients. Two case types sit far below it, and they are the only two whose average resolution time exceeds their own target.</t>
        </is>
      </c>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c r="A57" s="1" t="n"/>
      <c r="B57" s="11" t="inlineStr">
        <is>
          <t>Total breach hours by case type. Authorization Review is 41% of all lateness from 14% of cases.</t>
        </is>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c r="A78" s="1" t="n"/>
      <c r="B78" s="11" t="inlineStr">
        <is>
          <t>Authorization Review takes 79.0 hours against a 48-hour target. Enrollment Change takes 30.9 against 24. No amount of coaching closes a target set below the time the work takes.</t>
        </is>
      </c>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c r="A99" s="1" t="n"/>
      <c r="B99" s="11" t="inlineStr">
        <is>
          <t>Auto-routing carries 58% of volume at the worst accuracy. Manual triage is 17.1 points better and reopens less, paying only 2.2 extra hours of assignment lag for it.</t>
        </is>
      </c>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c r="A120" s="1" t="n"/>
      <c r="B120" s="11" t="inlineStr">
        <is>
          <t>One reassignment adds 20.8 hours, drops SLA compliance 26 points and nearly triples the reopen rate. Bars are case counts on the right axis.</t>
        </is>
      </c>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c r="A141" s="1" t="n"/>
      <c r="B141" s="11" t="inlineStr">
        <is>
          <t>Monotonic in the right direction across all four bands, which is the most that can be claimed for weights assigned by judgement rather than fitted to outcomes. The gradient is too shallow to use as a routing rule on its own.</t>
        </is>
      </c>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c r="A162" s="1" t="n"/>
      <c r="B162" s="11" t="inlineStr">
        <is>
          <t>Backlog work hours divided by available hours. This is the queue-time dimension the Workload Balance Index misses, and it is where TEAM-04's problem becomes visible.</t>
        </is>
      </c>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c r="A183" s="1" t="n"/>
      <c r="B183" s="11" t="inlineStr">
        <is>
          <t>Missing documentation is the largest single cause at 26.0% of resolved volume. It is found after assignment, when the case is already on the clock.</t>
        </is>
      </c>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16" customHeight="1">
      <c r="A186" s="1" t="n"/>
      <c r="B186" s="12" t="inlineStr">
        <is>
          <t>How this workbook is built</t>
        </is>
      </c>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14" customHeight="1">
      <c r="A187" s="1" t="n"/>
      <c r="B187" s="13" t="inlineStr">
        <is>
          <t>Every figure here is produced by a SQL query stored in dashboard/dashboard_config.json and run against data/cases.db by src/build_bi_assets.py. The q_* sheets are the raw query output; the charts on this sheet read those sheets directly, so the workbook cannot drift away from the analysis in sql/. Rebuild with: python src/load_sqlite.py &amp;&amp; python src/build_bi_assets.py</t>
        </is>
      </c>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14"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14"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16" customHeight="1">
      <c r="A191" s="1" t="n"/>
      <c r="B191" s="12" t="inlineStr">
        <is>
          <t>Limitations</t>
        </is>
      </c>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14" customHeight="1">
      <c r="A192" s="1" t="n"/>
      <c r="B192" s="13" t="inlineStr">
        <is>
          <t>Reassignment is treated as a routing failure, which overstates it because no reason code separates misroutes from legitimate escalations. SLA is measured in elapsed clock hours, not business hours, because the source has no business calendar. The complexity score weights are analyst judgement and were not fitted to outcomes. The data is fully synthetic, so the relationships shown here were built into the generator — what transfers is the method, not the conclusion.</t>
        </is>
      </c>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14"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14"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14"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13" customHeight="1">
      <c r="A197" s="1" t="n"/>
      <c r="B197" s="14" t="inlineStr">
        <is>
          <t>Source: synthetic data generated by src/generate_data.py, seed 8821. No employer data, patient information, protected health information or confidential business information is used. Analyst performance is reported by tenure band only, never by individual.</t>
        </is>
      </c>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13"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13"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sheetData>
  <mergeCells count="39">
    <mergeCell ref="Q7:U7"/>
    <mergeCell ref="Q9:U10"/>
    <mergeCell ref="B7:F7"/>
    <mergeCell ref="B36:V37"/>
    <mergeCell ref="B2:V2"/>
    <mergeCell ref="G12:K12"/>
    <mergeCell ref="Q12:U12"/>
    <mergeCell ref="L7:P7"/>
    <mergeCell ref="B99:V100"/>
    <mergeCell ref="B183:V184"/>
    <mergeCell ref="G14:K15"/>
    <mergeCell ref="L13:P13"/>
    <mergeCell ref="G8:K8"/>
    <mergeCell ref="B141:V142"/>
    <mergeCell ref="B192:V195"/>
    <mergeCell ref="B9:F10"/>
    <mergeCell ref="Q8:U8"/>
    <mergeCell ref="B12:F12"/>
    <mergeCell ref="L12:P12"/>
    <mergeCell ref="G7:K7"/>
    <mergeCell ref="L9:P10"/>
    <mergeCell ref="B191:V191"/>
    <mergeCell ref="B186:V186"/>
    <mergeCell ref="G13:K13"/>
    <mergeCell ref="B8:F8"/>
    <mergeCell ref="B13:F13"/>
    <mergeCell ref="L8:P8"/>
    <mergeCell ref="G9:K10"/>
    <mergeCell ref="B187:V189"/>
    <mergeCell ref="B120:V121"/>
    <mergeCell ref="Q14:U15"/>
    <mergeCell ref="B57:V58"/>
    <mergeCell ref="B197:V199"/>
    <mergeCell ref="B78:V79"/>
    <mergeCell ref="B3:V5"/>
    <mergeCell ref="L14:P15"/>
    <mergeCell ref="B14:F15"/>
    <mergeCell ref="B162:V163"/>
    <mergeCell ref="Q13:U13"/>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Case_Type</t>
        </is>
      </c>
      <c r="B1" s="15" t="inlineStr">
        <is>
          <t>SLA compliance %</t>
        </is>
      </c>
    </row>
    <row r="2">
      <c r="A2" t="inlineStr">
        <is>
          <t>Authorization Review</t>
        </is>
      </c>
      <c r="B2" t="n">
        <v>26.37</v>
      </c>
    </row>
    <row r="3">
      <c r="A3" t="inlineStr">
        <is>
          <t>Enrollment Change</t>
        </is>
      </c>
      <c r="B3" t="n">
        <v>44.69</v>
      </c>
    </row>
    <row r="4">
      <c r="A4" t="inlineStr">
        <is>
          <t>Claims Dispute</t>
        </is>
      </c>
      <c r="B4" t="n">
        <v>65.86</v>
      </c>
    </row>
    <row r="5">
      <c r="A5" t="inlineStr">
        <is>
          <t>Benefits Inquiry</t>
        </is>
      </c>
      <c r="B5" t="n">
        <v>73.59</v>
      </c>
    </row>
    <row r="6">
      <c r="A6" t="inlineStr">
        <is>
          <t>Coverage Termination</t>
        </is>
      </c>
      <c r="B6" t="n">
        <v>74.62</v>
      </c>
    </row>
    <row r="7">
      <c r="A7" t="inlineStr">
        <is>
          <t>Billing Correction</t>
        </is>
      </c>
      <c r="B7" t="n">
        <v>86.89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Case_Type</t>
        </is>
      </c>
      <c r="B1" s="15" t="inlineStr">
        <is>
          <t>Breach hours</t>
        </is>
      </c>
    </row>
    <row r="2">
      <c r="A2" t="inlineStr">
        <is>
          <t>Authorization Review</t>
        </is>
      </c>
      <c r="B2" t="n">
        <v>73906</v>
      </c>
    </row>
    <row r="3">
      <c r="A3" t="inlineStr">
        <is>
          <t>Enrollment Change</t>
        </is>
      </c>
      <c r="B3" t="n">
        <v>28808</v>
      </c>
    </row>
    <row r="4">
      <c r="A4" t="inlineStr">
        <is>
          <t>Claims Dispute</t>
        </is>
      </c>
      <c r="B4" t="n">
        <v>34911</v>
      </c>
    </row>
    <row r="5">
      <c r="A5" t="inlineStr">
        <is>
          <t>Benefits Inquiry</t>
        </is>
      </c>
      <c r="B5" t="n">
        <v>21608</v>
      </c>
    </row>
    <row r="6">
      <c r="A6" t="inlineStr">
        <is>
          <t>Coverage Termination</t>
        </is>
      </c>
      <c r="B6" t="n">
        <v>13387</v>
      </c>
    </row>
    <row r="7">
      <c r="A7" t="inlineStr">
        <is>
          <t>Billing Correction</t>
        </is>
      </c>
      <c r="B7" t="n">
        <v>8190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Case_Type</t>
        </is>
      </c>
      <c r="B1" s="15" t="inlineStr">
        <is>
          <t>Avg resolution hours</t>
        </is>
      </c>
      <c r="C1" s="15" t="inlineStr">
        <is>
          <t>SLA target hours</t>
        </is>
      </c>
    </row>
    <row r="2">
      <c r="A2" t="inlineStr">
        <is>
          <t>Authorization Review</t>
        </is>
      </c>
      <c r="B2" t="n">
        <v>79</v>
      </c>
      <c r="C2" t="n">
        <v>48</v>
      </c>
    </row>
    <row r="3">
      <c r="A3" t="inlineStr">
        <is>
          <t>Enrollment Change</t>
        </is>
      </c>
      <c r="B3" t="n">
        <v>30.9</v>
      </c>
      <c r="C3" t="n">
        <v>24</v>
      </c>
    </row>
    <row r="4">
      <c r="A4" t="inlineStr">
        <is>
          <t>Claims Dispute</t>
        </is>
      </c>
      <c r="B4" t="n">
        <v>66.2</v>
      </c>
      <c r="C4" t="n">
        <v>72</v>
      </c>
    </row>
    <row r="5">
      <c r="A5" t="inlineStr">
        <is>
          <t>Benefits Inquiry</t>
        </is>
      </c>
      <c r="B5" t="n">
        <v>39.4</v>
      </c>
      <c r="C5" t="n">
        <v>48</v>
      </c>
    </row>
    <row r="6">
      <c r="A6" t="inlineStr">
        <is>
          <t>Coverage Termination</t>
        </is>
      </c>
      <c r="B6" t="n">
        <v>76.40000000000001</v>
      </c>
      <c r="C6" t="n">
        <v>96</v>
      </c>
    </row>
    <row r="7">
      <c r="A7" t="inlineStr">
        <is>
          <t>Billing Correction</t>
        </is>
      </c>
      <c r="B7" t="n">
        <v>45.1</v>
      </c>
      <c r="C7" t="n">
        <v>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 width="17" customWidth="1" min="4" max="4"/>
  </cols>
  <sheetData>
    <row r="1">
      <c r="A1" s="15" t="inlineStr">
        <is>
          <t>Routing_Method</t>
        </is>
      </c>
      <c r="B1" s="15" t="inlineStr">
        <is>
          <t>Assignment accuracy %</t>
        </is>
      </c>
      <c r="C1" s="15" t="inlineStr">
        <is>
          <t>Reopen %</t>
        </is>
      </c>
      <c r="D1" s="15" t="inlineStr">
        <is>
          <t>Assignment lag (hours)</t>
        </is>
      </c>
    </row>
    <row r="2">
      <c r="A2" t="inlineStr">
        <is>
          <t>Manual Triage</t>
        </is>
      </c>
      <c r="B2" t="n">
        <v>83.83</v>
      </c>
      <c r="C2" t="n">
        <v>5.53</v>
      </c>
      <c r="D2" t="n">
        <v>3.47</v>
      </c>
    </row>
    <row r="3">
      <c r="A3" t="inlineStr">
        <is>
          <t>Analyst Self-Select</t>
        </is>
      </c>
      <c r="B3" t="n">
        <v>77.69</v>
      </c>
      <c r="C3" t="n">
        <v>6.16</v>
      </c>
      <c r="D3" t="n">
        <v>6</v>
      </c>
    </row>
    <row r="4">
      <c r="A4" t="inlineStr">
        <is>
          <t>Auto-Routed</t>
        </is>
      </c>
      <c r="B4" t="n">
        <v>66.77</v>
      </c>
      <c r="C4" t="n">
        <v>7</v>
      </c>
      <c r="D4" t="n">
        <v>1.24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 width="17" customWidth="1" min="4" max="4"/>
  </cols>
  <sheetData>
    <row r="1">
      <c r="A1" s="15" t="inlineStr">
        <is>
          <t>reassignments</t>
        </is>
      </c>
      <c r="B1" s="15" t="inlineStr">
        <is>
          <t>SLA compliance %</t>
        </is>
      </c>
      <c r="C1" s="15" t="inlineStr">
        <is>
          <t>Reopen %</t>
        </is>
      </c>
      <c r="D1" s="15" t="inlineStr">
        <is>
          <t>Cases</t>
        </is>
      </c>
    </row>
    <row r="2">
      <c r="A2" t="n">
        <v>0</v>
      </c>
      <c r="B2" t="n">
        <v>70.33</v>
      </c>
      <c r="C2" t="n">
        <v>4.41</v>
      </c>
      <c r="D2" t="n">
        <v>11620</v>
      </c>
    </row>
    <row r="3">
      <c r="A3" t="n">
        <v>1</v>
      </c>
      <c r="B3" t="n">
        <v>44.18</v>
      </c>
      <c r="C3" t="n">
        <v>12.15</v>
      </c>
      <c r="D3" t="n">
        <v>3705</v>
      </c>
    </row>
    <row r="4">
      <c r="A4" t="n">
        <v>2</v>
      </c>
      <c r="B4" t="n">
        <v>27.06</v>
      </c>
      <c r="C4" t="n">
        <v>11.82</v>
      </c>
      <c r="D4" t="n">
        <v>533</v>
      </c>
    </row>
    <row r="5">
      <c r="A5" t="n">
        <v>3</v>
      </c>
      <c r="B5" t="n">
        <v>12.9</v>
      </c>
      <c r="C5" t="n">
        <v>8.82</v>
      </c>
      <c r="D5" t="n">
        <v>34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Complexity_Band</t>
        </is>
      </c>
      <c r="B1" s="15" t="inlineStr">
        <is>
          <t>SLA compliance %</t>
        </is>
      </c>
      <c r="C1" s="15" t="inlineStr">
        <is>
          <t>Reassigned at least once %</t>
        </is>
      </c>
    </row>
    <row r="2">
      <c r="A2" t="inlineStr">
        <is>
          <t>Low</t>
        </is>
      </c>
      <c r="B2" t="n">
        <v>68.58</v>
      </c>
      <c r="C2" t="n">
        <v>24.03</v>
      </c>
    </row>
    <row r="3">
      <c r="A3" t="inlineStr">
        <is>
          <t>Moderate</t>
        </is>
      </c>
      <c r="B3" t="n">
        <v>62.69</v>
      </c>
      <c r="C3" t="n">
        <v>26.73</v>
      </c>
    </row>
    <row r="4">
      <c r="A4" t="inlineStr">
        <is>
          <t>High</t>
        </is>
      </c>
      <c r="B4" t="n">
        <v>56.07</v>
      </c>
      <c r="C4" t="n">
        <v>30.48</v>
      </c>
    </row>
    <row r="5">
      <c r="A5" t="inlineStr">
        <is>
          <t>Critical</t>
        </is>
      </c>
      <c r="B5" t="n">
        <v>50</v>
      </c>
      <c r="C5" t="n">
        <v>34.7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Team_ID</t>
        </is>
      </c>
      <c r="B1" s="15" t="inlineStr">
        <is>
          <t>Days of queued work</t>
        </is>
      </c>
    </row>
    <row r="2">
      <c r="A2" t="inlineStr">
        <is>
          <t>TEAM-04</t>
        </is>
      </c>
      <c r="B2" t="n">
        <v>8.74</v>
      </c>
    </row>
    <row r="3">
      <c r="A3" t="inlineStr">
        <is>
          <t>TEAM-02</t>
        </is>
      </c>
      <c r="B3" t="n">
        <v>8.48</v>
      </c>
    </row>
    <row r="4">
      <c r="A4" t="inlineStr">
        <is>
          <t>TEAM-01</t>
        </is>
      </c>
      <c r="B4" t="n">
        <v>6.91</v>
      </c>
    </row>
    <row r="5">
      <c r="A5" t="inlineStr">
        <is>
          <t>TEAM-05</t>
        </is>
      </c>
      <c r="B5" t="n">
        <v>3.27</v>
      </c>
    </row>
    <row r="6">
      <c r="A6" t="inlineStr">
        <is>
          <t>TEAM-03</t>
        </is>
      </c>
      <c r="B6" t="n">
        <v>2.65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Root_Cause</t>
        </is>
      </c>
      <c r="B1" s="15" t="inlineStr">
        <is>
          <t>Cases</t>
        </is>
      </c>
    </row>
    <row r="2">
      <c r="A2" t="inlineStr">
        <is>
          <t>Missing documentation</t>
        </is>
      </c>
      <c r="B2" t="n">
        <v>4090</v>
      </c>
    </row>
    <row r="3">
      <c r="A3" t="inlineStr">
        <is>
          <t>Policy exception required</t>
        </is>
      </c>
      <c r="B3" t="n">
        <v>2463</v>
      </c>
    </row>
    <row r="4">
      <c r="A4" t="inlineStr">
        <is>
          <t>Incorrect initial routing</t>
        </is>
      </c>
      <c r="B4" t="n">
        <v>2282</v>
      </c>
    </row>
    <row r="5">
      <c r="A5" t="inlineStr">
        <is>
          <t>System data gap</t>
        </is>
      </c>
      <c r="B5" t="n">
        <v>1843</v>
      </c>
    </row>
    <row r="6">
      <c r="A6" t="inlineStr">
        <is>
          <t>No issue identified</t>
        </is>
      </c>
      <c r="B6" t="n">
        <v>1817</v>
      </c>
    </row>
    <row r="7">
      <c r="A7" t="inlineStr">
        <is>
          <t>External party delay</t>
        </is>
      </c>
      <c r="B7" t="n">
        <v>1746</v>
      </c>
    </row>
    <row r="8">
      <c r="A8" t="inlineStr">
        <is>
          <t>Complex eligibility</t>
        </is>
      </c>
      <c r="B8" t="n">
        <v>1333</v>
      </c>
    </row>
    <row r="9">
      <c r="A9" t="inlineStr">
        <is>
          <t>Not Recorded</t>
        </is>
      </c>
      <c r="B9" t="n">
        <v>140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2026-09-23T23:49:53Z</dcterms:created>
  <dcterms:modified xmlns:dcterms="http://purl.org/dc/terms/" xmlns:xsi="http://www.w3.org/2001/XMLSchema-instance" xsi:type="dcterms:W3CDTF">2026-09-23T23:49:53Z</dcterms:modified>
</cp:coreProperties>
</file>